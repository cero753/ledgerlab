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PnL" sheetId="3" state="visible" r:id="rId3"/>
    <sheet name="CashFlow" sheetId="4" state="visible" r:id="rId4"/>
    <sheet name="DCF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Lumen Retail Group - assumptions</t>
        </is>
      </c>
      <c r="B1" s="1" t="inlineStr">
        <is>
          <t>Value</t>
        </is>
      </c>
    </row>
    <row r="2">
      <c r="A2" t="inlineStr">
        <is>
          <t>Enterprise revenue, base year ($k)</t>
        </is>
      </c>
      <c r="B2" t="n">
        <v>34900</v>
      </c>
    </row>
    <row r="3">
      <c r="A3" t="inlineStr">
        <is>
          <t>Mid-market revenue, base year ($k)</t>
        </is>
      </c>
      <c r="B3" t="n">
        <v>17500</v>
      </c>
    </row>
    <row r="4">
      <c r="A4" t="inlineStr">
        <is>
          <t>SMB revenue, base year ($k)</t>
        </is>
      </c>
      <c r="B4" t="n">
        <v>11850</v>
      </c>
    </row>
    <row r="5">
      <c r="A5" t="inlineStr">
        <is>
          <t>Enterprise annual growth</t>
        </is>
      </c>
      <c r="B5" t="n">
        <v>0.12</v>
      </c>
    </row>
    <row r="6">
      <c r="A6" t="inlineStr">
        <is>
          <t>Mid-market annual growth</t>
        </is>
      </c>
      <c r="B6" t="n">
        <v>0.04</v>
      </c>
    </row>
    <row r="7">
      <c r="A7" t="inlineStr">
        <is>
          <t>SMB annual growth</t>
        </is>
      </c>
      <c r="B7" t="n">
        <v>0.06</v>
      </c>
    </row>
    <row r="8">
      <c r="A8" t="inlineStr">
        <is>
          <t>Gross margin</t>
        </is>
      </c>
      <c r="B8" t="n">
        <v>0.71</v>
      </c>
    </row>
    <row r="9">
      <c r="A9" t="inlineStr">
        <is>
          <t>Operating expenses (% of revenue)</t>
        </is>
      </c>
      <c r="B9" t="n">
        <v>0.15</v>
      </c>
    </row>
    <row r="10">
      <c r="A10" t="inlineStr">
        <is>
          <t>D&amp;A (% of revenue)</t>
        </is>
      </c>
      <c r="B10" t="n">
        <v>0.05</v>
      </c>
    </row>
    <row r="11">
      <c r="A11" t="inlineStr">
        <is>
          <t>Tax rate (on EBIT)</t>
        </is>
      </c>
      <c r="B11" t="n">
        <v>0.21</v>
      </c>
    </row>
    <row r="12">
      <c r="A12" t="inlineStr">
        <is>
          <t>Capex (% of revenue)</t>
        </is>
      </c>
      <c r="B12" t="n">
        <v>0.06</v>
      </c>
    </row>
    <row r="13">
      <c r="A13" t="inlineStr">
        <is>
          <t>Net working capital (% of revenue)</t>
        </is>
      </c>
      <c r="B13" t="n">
        <v>0.06</v>
      </c>
    </row>
    <row r="14">
      <c r="A14" t="inlineStr">
        <is>
          <t>WACC</t>
        </is>
      </c>
      <c r="B14" t="n">
        <v>0.095</v>
      </c>
    </row>
    <row r="15">
      <c r="A15" t="inlineStr">
        <is>
          <t>Terminal growth rate</t>
        </is>
      </c>
      <c r="B15" t="n">
        <v>0.015</v>
      </c>
    </row>
    <row r="16">
      <c r="A16" t="inlineStr">
        <is>
          <t>Net debt ($k)</t>
        </is>
      </c>
      <c r="B16" t="n">
        <v>7600</v>
      </c>
    </row>
    <row r="17">
      <c r="A17" t="inlineStr">
        <is>
          <t>Diluted shares outstanding (k)</t>
        </is>
      </c>
      <c r="B17" t="n">
        <v>29500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Revenue build ($k)</t>
        </is>
      </c>
      <c r="B1" s="1" t="inlineStr">
        <is>
          <t>Base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</row>
    <row r="2">
      <c r="A2" t="inlineStr">
        <is>
          <t>Enterprise</t>
        </is>
      </c>
      <c r="B2">
        <f>Inputs!$B$2</f>
        <v/>
      </c>
      <c r="C2">
        <f>B2*(1+Inputs!$B$5)</f>
        <v/>
      </c>
      <c r="D2">
        <f>C2*(1+Inputs!$B$5)</f>
        <v/>
      </c>
      <c r="E2">
        <f>D2*(1+Inputs!$B$5)</f>
        <v/>
      </c>
      <c r="F2">
        <f>D2*(1+Inputs!$B$5)</f>
        <v/>
      </c>
      <c r="G2">
        <f>F2*(1+Inputs!$B$5)</f>
        <v/>
      </c>
    </row>
    <row r="3">
      <c r="A3" t="inlineStr">
        <is>
          <t>Mid-market</t>
        </is>
      </c>
      <c r="B3">
        <f>Inputs!$B$3</f>
        <v/>
      </c>
      <c r="C3">
        <f>B3*(1+Inputs!$B$6)</f>
        <v/>
      </c>
      <c r="D3">
        <f>C3*(1+Inputs!$B$6)</f>
        <v/>
      </c>
      <c r="E3">
        <f>D3*(1+Inputs!$B$6)</f>
        <v/>
      </c>
      <c r="F3">
        <f>E3*(1+Inputs!$B$6)</f>
        <v/>
      </c>
      <c r="G3">
        <f>F3*(1+Inputs!$B$6)</f>
        <v/>
      </c>
    </row>
    <row r="4">
      <c r="A4" t="inlineStr">
        <is>
          <t>SMB</t>
        </is>
      </c>
      <c r="B4">
        <f>Inputs!$B$4</f>
        <v/>
      </c>
      <c r="C4">
        <f>B4*(1+Inputs!$B$7)</f>
        <v/>
      </c>
      <c r="D4">
        <f>C4*(1+Inputs!$B$7)</f>
        <v/>
      </c>
      <c r="E4">
        <f>D4*(1+Inputs!$B$7)</f>
        <v/>
      </c>
      <c r="F4">
        <f>E4*(1+Inputs!$B$7)</f>
        <v/>
      </c>
      <c r="G4">
        <f>F4*(1+Inputs!$B$7)</f>
        <v/>
      </c>
    </row>
    <row r="5">
      <c r="A5" t="inlineStr">
        <is>
          <t>Total revenue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Income statement ($k)</t>
        </is>
      </c>
      <c r="B1" s="1" t="inlineStr">
        <is>
          <t>Base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</row>
    <row r="2">
      <c r="A2" t="inlineStr">
        <is>
          <t>Revenue</t>
        </is>
      </c>
      <c r="B2">
        <f>Revenue!B5</f>
        <v/>
      </c>
      <c r="C2">
        <f>Revenue!C5</f>
        <v/>
      </c>
      <c r="D2">
        <f>Revenue!D5</f>
        <v/>
      </c>
      <c r="E2">
        <f>Revenue!E4</f>
        <v/>
      </c>
      <c r="F2">
        <f>Revenue!F5</f>
        <v/>
      </c>
      <c r="G2">
        <f>Revenue!G5</f>
        <v/>
      </c>
    </row>
    <row r="3">
      <c r="A3" t="inlineStr">
        <is>
          <t>COGS</t>
        </is>
      </c>
      <c r="C3">
        <f>C2*(1-Inputs!$B$8)</f>
        <v/>
      </c>
      <c r="D3">
        <f>D2*(1-Inputs!$B$8)</f>
        <v/>
      </c>
      <c r="E3">
        <f>E2*(1-Inputs!$B$8)</f>
        <v/>
      </c>
      <c r="F3">
        <f>F2*(1-Inputs!$B$8)</f>
        <v/>
      </c>
      <c r="G3" t="n">
        <v>25128</v>
      </c>
    </row>
    <row r="4">
      <c r="A4" t="inlineStr">
        <is>
          <t>Gross profit</t>
        </is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</row>
    <row r="5">
      <c r="A5" t="inlineStr">
        <is>
          <t>Operating expenses</t>
        </is>
      </c>
      <c r="C5">
        <f>C2*Inputs!$B$9</f>
        <v/>
      </c>
      <c r="D5">
        <f>D2*Inputs!$B$9</f>
        <v/>
      </c>
      <c r="E5">
        <f>E2*Inputs!$B$9</f>
        <v/>
      </c>
      <c r="F5">
        <f>F2*Inputs!$B$9</f>
        <v/>
      </c>
      <c r="G5">
        <f>G2*Inputs!$B$9</f>
        <v/>
      </c>
    </row>
    <row r="6">
      <c r="A6" t="inlineStr">
        <is>
          <t>EBITDA</t>
        </is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G4-G5</f>
        <v/>
      </c>
    </row>
    <row r="7">
      <c r="A7" t="inlineStr">
        <is>
          <t>D&amp;A</t>
        </is>
      </c>
      <c r="C7">
        <f>C2*Inputs!$B$10</f>
        <v/>
      </c>
      <c r="D7">
        <f>D2*Inputs!$B$10</f>
        <v/>
      </c>
      <c r="E7">
        <f>E2*Inputs!$B$10</f>
        <v/>
      </c>
      <c r="F7">
        <f>F2*Inputs!$B$10</f>
        <v/>
      </c>
      <c r="G7">
        <f>G2*Inputs!$B$10</f>
        <v/>
      </c>
    </row>
    <row r="8">
      <c r="A8" t="inlineStr">
        <is>
          <t>EBIT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</row>
    <row r="9">
      <c r="A9" t="inlineStr">
        <is>
          <t>Tax</t>
        </is>
      </c>
      <c r="C9">
        <f>C8*Inputs!$B$11</f>
        <v/>
      </c>
      <c r="D9">
        <f>D8*Inputs!$B$11</f>
        <v/>
      </c>
      <c r="E9">
        <f>E6*Inputs!$B$11</f>
        <v/>
      </c>
      <c r="F9">
        <f>F8*Inputs!$B$11</f>
        <v/>
      </c>
      <c r="G9">
        <f>G8*Inputs!$B$11</f>
        <v/>
      </c>
    </row>
    <row r="10">
      <c r="A10" t="inlineStr">
        <is>
          <t>NOPAT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Unlevered free cash flow ($k)</t>
        </is>
      </c>
      <c r="B1" s="1" t="inlineStr">
        <is>
          <t>Base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</row>
    <row r="2">
      <c r="A2" t="inlineStr">
        <is>
          <t>NOPAT</t>
        </is>
      </c>
      <c r="C2">
        <f>PnL!C10</f>
        <v/>
      </c>
      <c r="D2">
        <f>PnL!D10</f>
        <v/>
      </c>
      <c r="E2">
        <f>PnL!E10</f>
        <v/>
      </c>
      <c r="F2">
        <f>PnL!F10</f>
        <v/>
      </c>
      <c r="G2">
        <f>PnL!G10</f>
        <v/>
      </c>
    </row>
    <row r="3">
      <c r="A3" t="inlineStr">
        <is>
          <t>Add: D&amp;A</t>
        </is>
      </c>
      <c r="C3">
        <f>PnL!C7</f>
        <v/>
      </c>
      <c r="D3">
        <f>PnL!D7</f>
        <v/>
      </c>
      <c r="E3">
        <f>PnL!E7</f>
        <v/>
      </c>
      <c r="F3">
        <f>PnL!F7</f>
        <v/>
      </c>
      <c r="G3">
        <f>PnL!G7</f>
        <v/>
      </c>
    </row>
    <row r="4">
      <c r="A4" t="inlineStr">
        <is>
          <t>Less: capex</t>
        </is>
      </c>
      <c r="C4">
        <f>PnL!C2*Inputs!$B$12</f>
        <v/>
      </c>
      <c r="D4">
        <f>PnL!D2*Inputs!$B$12</f>
        <v/>
      </c>
      <c r="E4">
        <f>PnL!E2*Inputs!$B$12</f>
        <v/>
      </c>
      <c r="F4">
        <f>PnL!F2*Inputs!$B$12</f>
        <v/>
      </c>
      <c r="G4">
        <f>PnL!G2*Inputs!$B$12</f>
        <v/>
      </c>
    </row>
    <row r="5">
      <c r="A5" t="inlineStr">
        <is>
          <t>Net working capital</t>
        </is>
      </c>
      <c r="B5">
        <f>PnL!B2*Inputs!$B$13</f>
        <v/>
      </c>
      <c r="C5">
        <f>PnL!C2*Inputs!$B$13</f>
        <v/>
      </c>
      <c r="D5">
        <f>PnL!D2*Inputs!$B$13</f>
        <v/>
      </c>
      <c r="E5">
        <f>PnL!E2*Inputs!$B$13</f>
        <v/>
      </c>
      <c r="F5">
        <f>PnL!F2*Inputs!$B$13</f>
        <v/>
      </c>
      <c r="G5">
        <f>PnL!G2*Inputs!$B$13</f>
        <v/>
      </c>
    </row>
    <row r="6">
      <c r="A6" t="inlineStr">
        <is>
          <t>Less: increase in NWC</t>
        </is>
      </c>
      <c r="C6">
        <f>C5-B5</f>
        <v/>
      </c>
      <c r="D6">
        <f>D5-C5</f>
        <v/>
      </c>
      <c r="E6">
        <f>E5-D5</f>
        <v/>
      </c>
      <c r="F6">
        <f>F5-E5</f>
        <v/>
      </c>
      <c r="G6">
        <f>G5-F5</f>
        <v/>
      </c>
    </row>
    <row r="7">
      <c r="A7" t="inlineStr">
        <is>
          <t>Unlevered FCF</t>
        </is>
      </c>
      <c r="C7">
        <f>C2+C3-C4-C6</f>
        <v/>
      </c>
      <c r="D7">
        <f>D2+D3-D4-D6</f>
        <v/>
      </c>
      <c r="E7">
        <f>E2+E3-E4-E6</f>
        <v/>
      </c>
      <c r="F7">
        <f>F2+F3-F4-F6</f>
        <v/>
      </c>
      <c r="G7">
        <f>G2+G3-G4-G6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Discounted cash flow</t>
        </is>
      </c>
      <c r="B1" s="1" t="inlineStr">
        <is>
          <t>Base</t>
        </is>
      </c>
      <c r="C1" s="1" t="inlineStr">
        <is>
          <t>Year 1</t>
        </is>
      </c>
      <c r="D1" s="1" t="inlineStr">
        <is>
          <t>Year 2</t>
        </is>
      </c>
      <c r="E1" s="1" t="inlineStr">
        <is>
          <t>Year 3</t>
        </is>
      </c>
      <c r="F1" s="1" t="inlineStr">
        <is>
          <t>Year 4</t>
        </is>
      </c>
      <c r="G1" s="1" t="inlineStr">
        <is>
          <t>Year 5</t>
        </is>
      </c>
    </row>
    <row r="2">
      <c r="A2" t="inlineStr">
        <is>
          <t>Period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</row>
    <row r="3">
      <c r="A3" t="inlineStr">
        <is>
          <t>Discount factor</t>
        </is>
      </c>
      <c r="C3">
        <f>1/(1+Inputs!$B$14)^C2</f>
        <v/>
      </c>
      <c r="D3">
        <f>1/(1+Inputs!$B$14)^D2</f>
        <v/>
      </c>
      <c r="E3">
        <f>1/(1+Inputs!$B$14)^E2</f>
        <v/>
      </c>
      <c r="F3">
        <f>1/(1+Inputs!$B$14)^F2</f>
        <v/>
      </c>
      <c r="G3">
        <f>1/(1+Inputs!$B$14)^G2</f>
        <v/>
      </c>
    </row>
    <row r="4">
      <c r="A4" t="inlineStr">
        <is>
          <t>PV of FCF</t>
        </is>
      </c>
      <c r="C4">
        <f>CashFlow!C7*C3</f>
        <v/>
      </c>
      <c r="D4">
        <f>CashFlow!D7*D3</f>
        <v/>
      </c>
      <c r="E4">
        <f>CashFlow!E7*E3</f>
        <v/>
      </c>
      <c r="F4">
        <f>CashFlow!F7*F3</f>
        <v/>
      </c>
      <c r="G4">
        <f>CashFlow!G7*G3</f>
        <v/>
      </c>
    </row>
    <row r="6">
      <c r="A6" t="inlineStr">
        <is>
          <t>Sum of PV of FCF</t>
        </is>
      </c>
      <c r="B6">
        <f>SUM(C4:G4)</f>
        <v/>
      </c>
    </row>
    <row r="7">
      <c r="A7" t="inlineStr">
        <is>
          <t>Terminal value (Gordon growth, at Year 5)</t>
        </is>
      </c>
      <c r="B7">
        <f>CashFlow!G7*(1+Inputs!$B$15)/(Inputs!$B$14-Inputs!$B$15)</f>
        <v/>
      </c>
    </row>
    <row r="8">
      <c r="A8" t="inlineStr">
        <is>
          <t>PV of terminal value</t>
        </is>
      </c>
      <c r="B8">
        <f>B7</f>
        <v/>
      </c>
    </row>
    <row r="9">
      <c r="A9" t="inlineStr">
        <is>
          <t>Enterprise value</t>
        </is>
      </c>
      <c r="B9">
        <f>B6+B8</f>
        <v/>
      </c>
    </row>
    <row r="10">
      <c r="A10" t="inlineStr">
        <is>
          <t>Equity value</t>
        </is>
      </c>
      <c r="B10">
        <f>B9-Inputs!$B$16</f>
        <v/>
      </c>
    </row>
    <row r="11">
      <c r="A11" t="inlineStr">
        <is>
          <t>Equity value per share ($)</t>
        </is>
      </c>
      <c r="B11">
        <f>B10/Inputs!$B$17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MODEL SPECIFICATION - Lumen Retail Group</t>
        </is>
      </c>
    </row>
    <row r="2">
      <c r="A2" t="inlineStr">
        <is>
          <t>All money in $ thousands. Column B is the base year; C..G are forecast years 1-5.</t>
        </is>
      </c>
    </row>
    <row r="3">
      <c r="A3" t="inlineStr">
        <is>
          <t>Every assumption lives on Inputs (one value per line, percentages stored as decimals, e.g. 25% = 0.25).</t>
        </is>
      </c>
    </row>
    <row r="4">
      <c r="A4" t="inlineStr">
        <is>
          <t>No other sheet should contain hard-coded numbers except DCF row 2 (period numbers 1..5).</t>
        </is>
      </c>
    </row>
    <row r="6">
      <c r="A6" t="inlineStr">
        <is>
          <t>ASSUMPTIONS (signed off by the deal team):</t>
        </is>
      </c>
    </row>
    <row r="7">
      <c r="A7" t="inlineStr">
        <is>
          <t xml:space="preserve">  Inputs!B2  Enterprise revenue, base year ($k) = 34,900</t>
        </is>
      </c>
    </row>
    <row r="8">
      <c r="A8" t="inlineStr">
        <is>
          <t xml:space="preserve">  Inputs!B3  Mid-market revenue, base year ($k) = 17,500</t>
        </is>
      </c>
    </row>
    <row r="9">
      <c r="A9" t="inlineStr">
        <is>
          <t xml:space="preserve">  Inputs!B4  SMB revenue, base year ($k) = 11,850</t>
        </is>
      </c>
    </row>
    <row r="10">
      <c r="A10" t="inlineStr">
        <is>
          <t xml:space="preserve">  Inputs!B5  Enterprise annual growth = 12%</t>
        </is>
      </c>
    </row>
    <row r="11">
      <c r="A11" t="inlineStr">
        <is>
          <t xml:space="preserve">  Inputs!B6  Mid-market annual growth = 4%</t>
        </is>
      </c>
    </row>
    <row r="12">
      <c r="A12" t="inlineStr">
        <is>
          <t xml:space="preserve">  Inputs!B7  SMB annual growth = 6%</t>
        </is>
      </c>
    </row>
    <row r="13">
      <c r="A13" t="inlineStr">
        <is>
          <t xml:space="preserve">  Inputs!B8  Gross margin = 71%</t>
        </is>
      </c>
    </row>
    <row r="14">
      <c r="A14" t="inlineStr">
        <is>
          <t xml:space="preserve">  Inputs!B9  Operating expenses (% of revenue) = 15%</t>
        </is>
      </c>
    </row>
    <row r="15">
      <c r="A15" t="inlineStr">
        <is>
          <t xml:space="preserve">  Inputs!B10  D&amp;A (% of revenue) = 5%</t>
        </is>
      </c>
    </row>
    <row r="16">
      <c r="A16" t="inlineStr">
        <is>
          <t xml:space="preserve">  Inputs!B11  Tax rate (on EBIT) = 21%</t>
        </is>
      </c>
    </row>
    <row r="17">
      <c r="A17" t="inlineStr">
        <is>
          <t xml:space="preserve">  Inputs!B12  Capex (% of revenue) = 6%</t>
        </is>
      </c>
    </row>
    <row r="18">
      <c r="A18" t="inlineStr">
        <is>
          <t xml:space="preserve">  Inputs!B13  Net working capital (% of revenue) = 6%</t>
        </is>
      </c>
    </row>
    <row r="19">
      <c r="A19" t="inlineStr">
        <is>
          <t xml:space="preserve">  Inputs!B14  WACC = 9.5%</t>
        </is>
      </c>
    </row>
    <row r="20">
      <c r="A20" t="inlineStr">
        <is>
          <t xml:space="preserve">  Inputs!B15  Terminal growth rate = 1.5%</t>
        </is>
      </c>
    </row>
    <row r="21">
      <c r="A21" t="inlineStr">
        <is>
          <t xml:space="preserve">  Inputs!B16  Net debt ($k) = 7,600</t>
        </is>
      </c>
    </row>
    <row r="22">
      <c r="A22" t="inlineStr">
        <is>
          <t xml:space="preserve">  Inputs!B17  Diluted shares outstanding (k) = 29,500</t>
        </is>
      </c>
    </row>
    <row r="24">
      <c r="A24" t="inlineStr">
        <is>
          <t>REVENUE: base year = Inputs base revenue. Each forecast year = prior year x (1 + that segment's growth).</t>
        </is>
      </c>
    </row>
    <row r="25">
      <c r="A25" t="inlineStr">
        <is>
          <t xml:space="preserve">  Total revenue = sum of the three segments (rows 2-4) in every column.</t>
        </is>
      </c>
    </row>
    <row r="26">
      <c r="A26" t="inlineStr">
        <is>
          <t>PnL: Revenue links to Revenue total (row 5) of the same year.</t>
        </is>
      </c>
    </row>
    <row r="27">
      <c r="A27" t="inlineStr">
        <is>
          <t xml:space="preserve">  COGS = revenue x (1 - gross margin). Gross profit = revenue - COGS.</t>
        </is>
      </c>
    </row>
    <row r="28">
      <c r="A28" t="inlineStr">
        <is>
          <t xml:space="preserve">  Opex = revenue x opex %. EBITDA = gross profit - opex.</t>
        </is>
      </c>
    </row>
    <row r="29">
      <c r="A29" t="inlineStr">
        <is>
          <t xml:space="preserve">  D&amp;A = revenue x D&amp;A %. EBIT = EBITDA - D&amp;A. Tax = EBIT x tax rate. NOPAT = EBIT - tax.</t>
        </is>
      </c>
    </row>
    <row r="30">
      <c r="A30" t="inlineStr">
        <is>
          <t>CASHFLOW: NOPAT and D&amp;A link to PnL of the same year. Capex = same-year revenue x capex %.</t>
        </is>
      </c>
    </row>
    <row r="31">
      <c r="A31" t="inlineStr">
        <is>
          <t xml:space="preserve">  NWC = same-year revenue x NWC % (base year included). Increase in NWC = NWC this year - NWC prior year.</t>
        </is>
      </c>
    </row>
    <row r="32">
      <c r="A32" t="inlineStr">
        <is>
          <t xml:space="preserve">  Unlevered FCF = NOPAT + D&amp;A - capex - increase in NWC.</t>
        </is>
      </c>
    </row>
    <row r="33">
      <c r="A33" t="inlineStr">
        <is>
          <t>DCF: end-of-year discounting. Discount factor = 1 / (1 + WACC) ^ period.</t>
        </is>
      </c>
    </row>
    <row r="34">
      <c r="A34" t="inlineStr">
        <is>
          <t xml:space="preserve">  PV of FCF = FCF x discount factor. Sum of PV = sum over years 1-5.</t>
        </is>
      </c>
    </row>
    <row r="35">
      <c r="A35" t="inlineStr">
        <is>
          <t xml:space="preserve">  Terminal value = Year-5 FCF x (1 + g) / (WACC - g), valued at end of Year 5,</t>
        </is>
      </c>
    </row>
    <row r="36">
      <c r="A36" t="inlineStr">
        <is>
          <t xml:space="preserve">  then discounted with the Year-5 discount factor. EV = sum of PV + PV of terminal value.</t>
        </is>
      </c>
    </row>
    <row r="37">
      <c r="A37" t="inlineStr">
        <is>
          <t xml:space="preserve">  Equity value = EV - net debt. Per share = equity value / diluted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2026-10-22T08:20:28Z</dcterms:created>
  <dcterms:modified xsi:type="dcterms:W3CDTF">2026-10-22T08:20:28Z</dcterms:modified>
</cp:coreProperties>
</file>